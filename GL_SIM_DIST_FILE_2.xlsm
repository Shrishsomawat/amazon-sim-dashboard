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somawat\Desktop\Data\C\Users\ssomawat\Desktop\Essentials\Kalyan Bro Files\Backup\"/>
    </mc:Choice>
  </mc:AlternateContent>
  <xr:revisionPtr revIDLastSave="0" documentId="13_ncr:1_{A9EB40C9-327E-45AE-8D62-FC152A93A596}" xr6:coauthVersionLast="47" xr6:coauthVersionMax="47" xr10:uidLastSave="{00000000-0000-0000-0000-000000000000}"/>
  <bookViews>
    <workbookView xWindow="-110" yWindow="-110" windowWidth="19420" windowHeight="11500" activeTab="3" xr2:uid="{00000000-000D-0000-FFFF-FFFF00000000}"/>
  </bookViews>
  <sheets>
    <sheet name="SIM Lobby" sheetId="1" r:id="rId1"/>
    <sheet name="SIM_Insights" sheetId="6" r:id="rId2"/>
    <sheet name="ActiveHC" sheetId="2" r:id="rId3"/>
    <sheet name="DistributionLog" sheetId="3" r:id="rId4"/>
    <sheet name="SIM_Dashboard" sheetId="5" r:id="rId5"/>
  </sheet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6" l="1" a="1"/>
  <c r="O4" i="6" s="1"/>
  <c r="O5" i="6" a="1"/>
  <c r="O5" i="6" s="1"/>
  <c r="O6" i="6" a="1"/>
  <c r="O6" i="6" s="1"/>
  <c r="O7" i="6" a="1"/>
  <c r="O7" i="6" s="1"/>
  <c r="O8" i="6" a="1"/>
  <c r="O8" i="6" s="1"/>
  <c r="O9" i="6" a="1"/>
  <c r="O9" i="6" s="1"/>
  <c r="O10" i="6" a="1"/>
  <c r="O10" i="6"/>
  <c r="O11" i="6" a="1"/>
  <c r="O11" i="6" s="1"/>
  <c r="O12" i="6" a="1"/>
  <c r="O12" i="6" s="1"/>
  <c r="O13" i="6" a="1"/>
  <c r="O13" i="6" s="1"/>
  <c r="O14" i="6" a="1"/>
  <c r="O14" i="6"/>
  <c r="N4" i="6" a="1"/>
  <c r="N4" i="6" s="1"/>
  <c r="N5" i="6" a="1"/>
  <c r="N5" i="6" s="1"/>
  <c r="N6" i="6" a="1"/>
  <c r="N6" i="6" s="1"/>
  <c r="N7" i="6" a="1"/>
  <c r="N7" i="6" s="1"/>
  <c r="N8" i="6" a="1"/>
  <c r="N8" i="6" s="1"/>
  <c r="N9" i="6" a="1"/>
  <c r="N9" i="6"/>
  <c r="N10" i="6" a="1"/>
  <c r="N10" i="6" s="1"/>
  <c r="N11" i="6" a="1"/>
  <c r="N11" i="6" s="1"/>
  <c r="N12" i="6" a="1"/>
  <c r="N12" i="6" s="1"/>
  <c r="N13" i="6" a="1"/>
  <c r="N13" i="6" s="1"/>
  <c r="N14" i="6" a="1"/>
  <c r="N14" i="6"/>
  <c r="M4" i="6" a="1"/>
  <c r="M4" i="6" s="1"/>
  <c r="M5" i="6" a="1"/>
  <c r="M5" i="6"/>
  <c r="M6" i="6" a="1"/>
  <c r="M6" i="6" s="1"/>
  <c r="M7" i="6" a="1"/>
  <c r="M7" i="6" s="1"/>
  <c r="M8" i="6" a="1"/>
  <c r="M8" i="6" s="1"/>
  <c r="M9" i="6" a="1"/>
  <c r="M9" i="6"/>
  <c r="M10" i="6" a="1"/>
  <c r="M10" i="6"/>
  <c r="M11" i="6" a="1"/>
  <c r="M11" i="6" s="1"/>
  <c r="M12" i="6" a="1"/>
  <c r="M12" i="6" s="1"/>
  <c r="M13" i="6" a="1"/>
  <c r="M13" i="6" s="1"/>
  <c r="M14" i="6" a="1"/>
  <c r="M14" i="6"/>
  <c r="L4" i="6" a="1"/>
  <c r="L4" i="6" s="1"/>
  <c r="L5" i="6" a="1"/>
  <c r="L5" i="6" s="1"/>
  <c r="L6" i="6" a="1"/>
  <c r="L6" i="6"/>
  <c r="L7" i="6" a="1"/>
  <c r="L7" i="6" s="1"/>
  <c r="L8" i="6" a="1"/>
  <c r="L8" i="6" s="1"/>
  <c r="L9" i="6" a="1"/>
  <c r="L9" i="6" s="1"/>
  <c r="L10" i="6" a="1"/>
  <c r="L10" i="6" s="1"/>
  <c r="L11" i="6" a="1"/>
  <c r="L11" i="6" s="1"/>
  <c r="L12" i="6" a="1"/>
  <c r="L12" i="6" s="1"/>
  <c r="L13" i="6" a="1"/>
  <c r="L13" i="6" s="1"/>
  <c r="L14" i="6" a="1"/>
  <c r="L14" i="6"/>
  <c r="K4" i="6" a="1"/>
  <c r="K4" i="6" s="1"/>
  <c r="K5" i="6" a="1"/>
  <c r="K5" i="6" s="1"/>
  <c r="K6" i="6" a="1"/>
  <c r="K6" i="6" s="1"/>
  <c r="K7" i="6" a="1"/>
  <c r="K7" i="6" s="1"/>
  <c r="K8" i="6" a="1"/>
  <c r="K8" i="6" s="1"/>
  <c r="K9" i="6" a="1"/>
  <c r="K9" i="6" s="1"/>
  <c r="K10" i="6" a="1"/>
  <c r="K10" i="6" s="1"/>
  <c r="K11" i="6" a="1"/>
  <c r="K11" i="6" s="1"/>
  <c r="K12" i="6" a="1"/>
  <c r="K12" i="6" s="1"/>
  <c r="K13" i="6" a="1"/>
  <c r="K13" i="6" s="1"/>
  <c r="K14" i="6" a="1"/>
  <c r="K14" i="6" s="1"/>
  <c r="O3" i="6" a="1"/>
  <c r="O3" i="6"/>
  <c r="N3" i="6" a="1"/>
  <c r="N3" i="6" s="1"/>
  <c r="M3" i="6" a="1"/>
  <c r="M3" i="6" s="1"/>
  <c r="L3" i="6" a="1"/>
  <c r="L3" i="6"/>
  <c r="K3" i="6" a="1"/>
  <c r="K3" i="6" s="1"/>
  <c r="I5" i="6"/>
  <c r="I6" i="6"/>
  <c r="I4" i="6"/>
  <c r="F4" i="6"/>
  <c r="C8" i="6"/>
  <c r="C7" i="6"/>
  <c r="C6" i="6"/>
  <c r="C5" i="6"/>
  <c r="C4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<sst xmlns="http://schemas.openxmlformats.org/spreadsheetml/2006/main" count="298" uniqueCount="194">
  <si>
    <t>IssueId</t>
  </si>
  <si>
    <t>IssueUrl</t>
  </si>
  <si>
    <t>Severity</t>
  </si>
  <si>
    <t>ShortId</t>
  </si>
  <si>
    <t>Title</t>
  </si>
  <si>
    <t>Status</t>
  </si>
  <si>
    <t>AssigneeIdentity</t>
  </si>
  <si>
    <t>AssignedGroup</t>
  </si>
  <si>
    <t>CreateDate</t>
  </si>
  <si>
    <t>LastUpdatedDate</t>
  </si>
  <si>
    <t>Work In Progress</t>
  </si>
  <si>
    <t>ROC Equipment</t>
  </si>
  <si>
    <t>02d8bc44-e5a6-4600-bd45-3e789af806ba</t>
  </si>
  <si>
    <t>https://t.corp.amazon.com/issues/V1863923898</t>
  </si>
  <si>
    <t>V1863923898</t>
  </si>
  <si>
    <t>YOW1 YGTM Automated SIM</t>
  </si>
  <si>
    <t>2025-07-18T03:25:23.665Z</t>
  </si>
  <si>
    <t>9b0377d1-9a6d-43a7-a440-47fb39f13ccc</t>
  </si>
  <si>
    <t>https://t.corp.amazon.com/issues/V1861629720</t>
  </si>
  <si>
    <t>V1861629720</t>
  </si>
  <si>
    <t>MLB1 YGTM Automated SIM</t>
  </si>
  <si>
    <t>2025-07-16T15:25:25.536Z</t>
  </si>
  <si>
    <t>45c7461a-eed2-4753-b39c-911247c832df</t>
  </si>
  <si>
    <t>https://t.corp.amazon.com/issues/V1861913942</t>
  </si>
  <si>
    <t>V1861913942</t>
  </si>
  <si>
    <t>TEB9 YGTM Automated SIM</t>
  </si>
  <si>
    <t>2025-07-16T19:25:27.270Z</t>
  </si>
  <si>
    <t>3e5057c8-1a20-487e-a712-0f06a01381ec</t>
  </si>
  <si>
    <t>https://t.corp.amazon.com/issues/V1863923920</t>
  </si>
  <si>
    <t>V1863923920</t>
  </si>
  <si>
    <t>PAE2 YGTM Automated SIM</t>
  </si>
  <si>
    <t>2025-07-18T03:25:25.113Z</t>
  </si>
  <si>
    <t>KCVG YGTM Automated SIM</t>
  </si>
  <si>
    <t>222b941c-9a72-43d8-aa59-1b580fdd478d</t>
  </si>
  <si>
    <t>https://t.corp.amazon.com/issues/V1863720886</t>
  </si>
  <si>
    <t>V1863720886</t>
  </si>
  <si>
    <t>2025-07-17T23:36:23.539Z</t>
  </si>
  <si>
    <t>6b642051-8a20-4c70-b9ad-621143d08319</t>
  </si>
  <si>
    <t>https://t.corp.amazon.com/issues/V1863542751</t>
  </si>
  <si>
    <t>V1863542751</t>
  </si>
  <si>
    <t>LDJ5 YGTM Automated SIM</t>
  </si>
  <si>
    <t>2025-07-17T21:25:22.475Z</t>
  </si>
  <si>
    <t>177635aa-e8a9-4e71-8fc9-55d07b1147a7</t>
  </si>
  <si>
    <t>https://t.corp.amazon.com/issues/V1861843747</t>
  </si>
  <si>
    <t>V1861843747</t>
  </si>
  <si>
    <t>YYZ1 YGTM Automated SIM</t>
  </si>
  <si>
    <t>2025-07-16T18:25:25.711Z</t>
  </si>
  <si>
    <t>c670596f-9bb3-40fb-a7ca-67ce19126f3f</t>
  </si>
  <si>
    <t>https://t.corp.amazon.com/issues/V1862903749</t>
  </si>
  <si>
    <t>V1862903749</t>
  </si>
  <si>
    <t>CLT4 YGTM Automated SIM</t>
  </si>
  <si>
    <t>2025-07-17T12:25:23.516Z</t>
  </si>
  <si>
    <t>9755a454-b99b-4bf6-b6df-c4cc9480e735</t>
  </si>
  <si>
    <t>https://t.corp.amazon.com/issues/V1862451318</t>
  </si>
  <si>
    <t>V1862451318</t>
  </si>
  <si>
    <t>BDL6 YGTM Automated SIM</t>
  </si>
  <si>
    <t>2025-07-17T04:25:25.524Z</t>
  </si>
  <si>
    <t>Active HC</t>
  </si>
  <si>
    <t>jhaanura</t>
  </si>
  <si>
    <t>Leaver Cleanup</t>
  </si>
  <si>
    <t>Newly Assigned</t>
  </si>
  <si>
    <t>stempijm</t>
  </si>
  <si>
    <t>vintaven</t>
  </si>
  <si>
    <t>abhidasa</t>
  </si>
  <si>
    <t>andmith</t>
  </si>
  <si>
    <t>f4f7935d-ba99-4f15-bcdd-8d1941a6402c</t>
  </si>
  <si>
    <t>https://t.corp.amazon.com/issues/V1863969283</t>
  </si>
  <si>
    <t>V1863969283</t>
  </si>
  <si>
    <t>BOS3 YGTM Automated SIM</t>
  </si>
  <si>
    <t>2025-07-18T04:25:25.282Z</t>
  </si>
  <si>
    <t>2025-07-18T12:03:35.825Z</t>
  </si>
  <si>
    <t>adinahp</t>
  </si>
  <si>
    <t>2025-07-18T11:59:20.697Z</t>
  </si>
  <si>
    <t>1ca2f5bc-725a-4d15-a5b3-2b9d7047803d</t>
  </si>
  <si>
    <t>https://t.corp.amazon.com/issues/V1863969245</t>
  </si>
  <si>
    <t>V1863969245</t>
  </si>
  <si>
    <t>MSP1 YGTM Automated SIM</t>
  </si>
  <si>
    <t>2025-07-18T04:25:22.453Z</t>
  </si>
  <si>
    <t>2025-07-18T12:07:02.298Z</t>
  </si>
  <si>
    <t>PBI3 YARD NEARING GRIDLOCK TEMPLATE</t>
  </si>
  <si>
    <t>ba673cf2-3d1a-448c-8acf-90aca102a66e</t>
  </si>
  <si>
    <t>https://t.corp.amazon.com/issues/V1864329825</t>
  </si>
  <si>
    <t>V1864329825</t>
  </si>
  <si>
    <t>2025-07-18T11:25:23.476Z</t>
  </si>
  <si>
    <t>2025-07-18T12:09:33.889Z</t>
  </si>
  <si>
    <t>anugorth</t>
  </si>
  <si>
    <t>7551bcf0-ba42-448b-b7c8-1332d6e7a7a6</t>
  </si>
  <si>
    <t>https://t.corp.amazon.com/issues/V1864016060</t>
  </si>
  <si>
    <t>V1864016060</t>
  </si>
  <si>
    <t>MIA1 YGTM Automated SIM</t>
  </si>
  <si>
    <t>2025-07-18T05:25:25.569Z</t>
  </si>
  <si>
    <t>plaxmanr</t>
  </si>
  <si>
    <t>2025-07-18T11:51:49.156Z</t>
  </si>
  <si>
    <t>c395c695-1469-4bb5-9d52-204382683998</t>
  </si>
  <si>
    <t>https://t.corp.amazon.com/issues/V1863969261</t>
  </si>
  <si>
    <t>V1863969261</t>
  </si>
  <si>
    <t>YEG1 YGTM Automated SIM</t>
  </si>
  <si>
    <t>rajmrk</t>
  </si>
  <si>
    <t>2025-07-18T04:25:23.863Z</t>
  </si>
  <si>
    <t>2025-07-18T11:26:47.337Z</t>
  </si>
  <si>
    <t>2025-07-18T11:55:52.964Z</t>
  </si>
  <si>
    <t>gurijalv</t>
  </si>
  <si>
    <t>2025-07-18T11:57:11.301Z</t>
  </si>
  <si>
    <t>3bacfc71-50aa-49a2-8352-2c7b9ddc2b51</t>
  </si>
  <si>
    <t>https://t.corp.amazon.com/issues/V1864329853</t>
  </si>
  <si>
    <t>V1864329853</t>
  </si>
  <si>
    <t>PNEA YGTM Automated SIM</t>
  </si>
  <si>
    <t>2025-07-18T11:25:24.753Z</t>
  </si>
  <si>
    <t>Fair Rebalance</t>
  </si>
  <si>
    <t>Row Labels</t>
  </si>
  <si>
    <t>Grand Total</t>
  </si>
  <si>
    <t>Column Labels</t>
  </si>
  <si>
    <t>Count of SIMs</t>
  </si>
  <si>
    <t>SIM Distribution Dashboard</t>
  </si>
  <si>
    <t>(blank)</t>
  </si>
  <si>
    <t>joejosel</t>
  </si>
  <si>
    <t>ssomawal</t>
  </si>
  <si>
    <t>ashettil</t>
  </si>
  <si>
    <t>zprimal</t>
  </si>
  <si>
    <t>kkkk</t>
  </si>
  <si>
    <t>fa51e280-3301-47e4-b452-8ba71eea3087</t>
  </si>
  <si>
    <t>https://t.corp.amazon.com/issues/V1864382680</t>
  </si>
  <si>
    <t>V1864382680</t>
  </si>
  <si>
    <t>ORH3 YGTM Automated SIM</t>
  </si>
  <si>
    <t>2025-07-18T12:25:23.180Z</t>
  </si>
  <si>
    <t>2025-07-18T12:56:16.450Z</t>
  </si>
  <si>
    <t>2025-07-18T12:39:28.159Z</t>
  </si>
  <si>
    <t>2025-07-18T13:25:27.730Z</t>
  </si>
  <si>
    <t>d3511237-08cb-439a-91fb-381b66c78524</t>
  </si>
  <si>
    <t>https://t.corp.amazon.com/issues/V1864440131</t>
  </si>
  <si>
    <t>V1864440131</t>
  </si>
  <si>
    <t>BWI5 YGTM Automated SIM</t>
  </si>
  <si>
    <t>Assigned</t>
  </si>
  <si>
    <t>2025-07-18T13:25:24.590Z</t>
  </si>
  <si>
    <t>2025-07-18T13:25:33.995Z</t>
  </si>
  <si>
    <t>2025-07-18T13:27:57.314Z</t>
  </si>
  <si>
    <t>2025-07-18T12:35:47.449Z</t>
  </si>
  <si>
    <t>5867ed9c-95a8-4435-9bfd-8b9e100f7dc7</t>
  </si>
  <si>
    <t>https://t.corp.amazon.com/issues/V1864442281</t>
  </si>
  <si>
    <t>V1864442281</t>
  </si>
  <si>
    <t>SOK1 YARD NEARING GRIDLOCK TEMPLATE</t>
  </si>
  <si>
    <t>2025-07-18T13:27:31.066Z</t>
  </si>
  <si>
    <t>2025-07-18T13:28:19.134Z</t>
  </si>
  <si>
    <t>2025-07-18T12:40:34.807Z</t>
  </si>
  <si>
    <t>8f6ac8db-14cc-4ba7-8e76-d10a4606cbed</t>
  </si>
  <si>
    <t>https://t.corp.amazon.com/issues/V1864440151</t>
  </si>
  <si>
    <t>V1864440151</t>
  </si>
  <si>
    <t>HAT2 YGTM Automated SIM</t>
  </si>
  <si>
    <t>2025-07-18T13:25:25.696Z</t>
  </si>
  <si>
    <t>2025-07-18T13:25:35.520Z</t>
  </si>
  <si>
    <t>6c6b9855-623a-4901-8352-96c551911034</t>
  </si>
  <si>
    <t>https://t.corp.amazon.com/issues/V1864440106</t>
  </si>
  <si>
    <t>V1864440106</t>
  </si>
  <si>
    <t>PIT2 YGTM Automated SIM</t>
  </si>
  <si>
    <t>2025-07-18T13:25:23.306Z</t>
  </si>
  <si>
    <t>2025-07-18T13:28:53.463Z</t>
  </si>
  <si>
    <t>2025-07-18T12:27:13.379Z</t>
  </si>
  <si>
    <t>10667033-dfbd-4186-9e4e-156bca228bc8</t>
  </si>
  <si>
    <t>https://t.corp.amazon.com/issues/V1864440137</t>
  </si>
  <si>
    <t>V1864440137</t>
  </si>
  <si>
    <t>FTWC YGTM Automated SIM</t>
  </si>
  <si>
    <t>2025-07-18T13:25:25.063Z</t>
  </si>
  <si>
    <t>2025-07-18T13:25:34.153Z</t>
  </si>
  <si>
    <t>0cc40498-8cd1-4b43-8eaa-4b8fea3e6ea7</t>
  </si>
  <si>
    <t>https://t.corp.amazon.com/issues/V1864440118</t>
  </si>
  <si>
    <t>V1864440118</t>
  </si>
  <si>
    <t>LGA9 YGTM Automated SIM</t>
  </si>
  <si>
    <t>2025-07-18T13:25:23.805Z</t>
  </si>
  <si>
    <t>2025-07-18T13:28:51.303Z</t>
  </si>
  <si>
    <t>2025-07-18T13:20:26.692Z</t>
  </si>
  <si>
    <t>18/07/2025 19:54:08</t>
  </si>
  <si>
    <t>SIM_Insights</t>
  </si>
  <si>
    <t>Cell</t>
  </si>
  <si>
    <t>Metric Label</t>
  </si>
  <si>
    <t>Formula/Notes</t>
  </si>
  <si>
    <t>A3</t>
  </si>
  <si>
    <t>Total SIMs:</t>
  </si>
  <si>
    <t>A4</t>
  </si>
  <si>
    <t>Active Headcounts:</t>
  </si>
  <si>
    <t>A5</t>
  </si>
  <si>
    <t>SIMs Assigned Today:</t>
  </si>
  <si>
    <t>A6</t>
  </si>
  <si>
    <t>SIMs Rebalanced Today:</t>
  </si>
  <si>
    <t>A7</t>
  </si>
  <si>
    <t>Leaver Cleanup Today:</t>
  </si>
  <si>
    <t>Assignee</t>
  </si>
  <si>
    <t>SIM Count</t>
  </si>
  <si>
    <t>Action</t>
  </si>
  <si>
    <t>Count</t>
  </si>
  <si>
    <t>Timestamp</t>
  </si>
  <si>
    <t>SIM URL</t>
  </si>
  <si>
    <t>From Assignee</t>
  </si>
  <si>
    <t>To Assignee</t>
  </si>
  <si>
    <t xml:space="preserve">Timestamp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</si>
</sst>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Arial Unicode MS"/>
    </font>
    <font>
      <b/>
      <sz val="16"/>
      <color theme="1"/>
      <name val="Calibri"/>
      <family val="2"/>
      <scheme val="minor"/>
    </font>
    <font>
      <sz val="16"/>
      <color theme="1"/>
      <name val="Arial Unicode MS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9">
    <xf numFmtId="0" fontId="0" fillId="0" borderId="0" xfId="0"/>
    <xf numFmtId="11" fontId="0" fillId="0" borderId="0" xfId="0" applyNumberFormat="1"/>
    <xf numFmtId="0" fontId="0" fillId="0" borderId="0" xfId="0" applyFill="1"/>
    <xf numFmtId="0" fontId="18" fillId="0" borderId="0" xfId="42"/>
    <xf numFmtId="0" fontId="13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0" fillId="0" borderId="0" xfId="0" applyFont="1"/>
    <xf numFmtId="0" fontId="16" fillId="34" borderId="0" xfId="0" applyFont="1" applyFill="1"/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0" fontId="0" fillId="0" borderId="0" xfId="0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/>
              <a:t>Current SIM Load per Assignee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SIM_Insights!$E$4:$E$100</c:f>
              <c:numCache>
                <c:formatCode>General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C0-4CF1-88ED-8B661021C10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SIM_Insights!$F$4:$F$100</c:f>
              <c:numCache>
                <c:formatCode>General</c:formatCode>
                <c:ptCount val="97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C0-4CF1-88ED-8B661021C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85208943"/>
        <c:axId val="1985209359"/>
        <c:axId val="0"/>
      </c:bar3DChart>
      <c:catAx>
        <c:axId val="19852089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09359"/>
        <c:crosses val="autoZero"/>
        <c:auto val="1"/>
        <c:lblAlgn val="ctr"/>
        <c:lblOffset val="100"/>
        <c:noMultiLvlLbl val="0"/>
      </c:catAx>
      <c:valAx>
        <c:axId val="1985209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08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/>
              <a:t>SIM Assignment Types Distribution</a:t>
            </a:r>
            <a:endParaRPr lang="en-US" b="1"/>
          </a:p>
        </c:rich>
      </c:tx>
      <c:layout>
        <c:manualLayout>
          <c:xMode val="edge"/>
          <c:yMode val="edge"/>
          <c:x val="0.21344654733692267"/>
          <c:y val="2.78745644599303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SIM_Insights!$I$3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9C-4E5E-BE47-01513445FE8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9C-4E5E-BE47-01513445FE8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99C-4E5E-BE47-01513445FE88}"/>
              </c:ext>
            </c:extLst>
          </c:dPt>
          <c:cat>
            <c:strRef>
              <c:f>SIM_Insights!$H$4:$H$6</c:f>
              <c:strCache>
                <c:ptCount val="3"/>
                <c:pt idx="0">
                  <c:v>Newly Assigned</c:v>
                </c:pt>
                <c:pt idx="1">
                  <c:v>Fair Rebalance</c:v>
                </c:pt>
                <c:pt idx="2">
                  <c:v>Leaver Cleanup</c:v>
                </c:pt>
              </c:strCache>
            </c:strRef>
          </c:cat>
          <c:val>
            <c:numRef>
              <c:f>SIM_Insights!$I$4:$I$6</c:f>
              <c:numCache>
                <c:formatCode>General</c:formatCode>
                <c:ptCount val="3"/>
                <c:pt idx="0">
                  <c:v>0</c:v>
                </c:pt>
                <c:pt idx="1">
                  <c:v>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0F-401D-885A-307B14B9B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590550</xdr:colOff>
          <xdr:row>1</xdr:row>
          <xdr:rowOff>19050</xdr:rowOff>
        </xdr:from>
        <xdr:to>
          <xdr:col>14</xdr:col>
          <xdr:colOff>546100</xdr:colOff>
          <xdr:row>4</xdr:row>
          <xdr:rowOff>57150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💼 Run SIM Manager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571500</xdr:colOff>
          <xdr:row>6</xdr:row>
          <xdr:rowOff>69850</xdr:rowOff>
        </xdr:from>
        <xdr:to>
          <xdr:col>14</xdr:col>
          <xdr:colOff>577850</xdr:colOff>
          <xdr:row>9</xdr:row>
          <xdr:rowOff>69850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590550</xdr:colOff>
      <xdr:row>29</xdr:row>
      <xdr:rowOff>179387</xdr:rowOff>
    </xdr:from>
    <xdr:to>
      <xdr:col>13</xdr:col>
      <xdr:colOff>485775</xdr:colOff>
      <xdr:row>45</xdr:row>
      <xdr:rowOff>39687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846137</xdr:colOff>
      <xdr:row>29</xdr:row>
      <xdr:rowOff>153987</xdr:rowOff>
    </xdr:from>
    <xdr:to>
      <xdr:col>2</xdr:col>
      <xdr:colOff>246062</xdr:colOff>
      <xdr:row>44</xdr:row>
      <xdr:rowOff>173037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omawat, shrish" refreshedDate="45856.790023842594" createdVersion="3" refreshedVersion="7" minRefreshableVersion="3" recordCount="64" xr:uid="{20402B22-909E-45FF-BA4D-E32E84D6A1BD}">
  <cacheSource type="worksheet">
    <worksheetSource ref="A1:E65" sheet="DistributionLog"/>
  </cacheSource>
  <cacheFields count="5">
    <cacheField name="Timestamp" numFmtId="0">
      <sharedItems/>
    </cacheField>
    <cacheField name="Action" numFmtId="0">
      <sharedItems count="2">
        <s v="Leaver Cleanup"/>
        <s v="Newly Assigned"/>
      </sharedItems>
    </cacheField>
    <cacheField name="SIM URL" numFmtId="0">
      <sharedItems/>
    </cacheField>
    <cacheField name="From Assignee" numFmtId="0">
      <sharedItems containsBlank="1"/>
    </cacheField>
    <cacheField name="To Assignee" numFmtId="0">
      <sharedItems containsBlank="1" count="9">
        <m/>
        <s v="vintaven"/>
        <s v="abhidasa"/>
        <s v="stempijm"/>
        <s v="joejosel"/>
        <s v="ssomawal"/>
        <s v="ashettil"/>
        <s v="zprimal"/>
        <s v="kkkk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s v="18/07/2025 18:38:46"/>
    <x v="0"/>
    <s v="https://t.corp.amazon.com/issues/V1863969245"/>
    <s v="andmith"/>
    <x v="0"/>
  </r>
  <r>
    <s v="18/07/2025 18:38:46"/>
    <x v="0"/>
    <s v="https://t.corp.amazon.com/issues/V1864016060"/>
    <s v="andmith"/>
    <x v="0"/>
  </r>
  <r>
    <s v="18/07/2025 18:38:46"/>
    <x v="0"/>
    <s v="https://t.corp.amazon.com/issues/V1863923920"/>
    <s v="andmith"/>
    <x v="0"/>
  </r>
  <r>
    <s v="18/07/2025 18:38:46"/>
    <x v="0"/>
    <s v="https://t.corp.amazon.com/issues/V1862451318"/>
    <s v="andmith"/>
    <x v="0"/>
  </r>
  <r>
    <s v="18/07/2025 18:38:46"/>
    <x v="1"/>
    <s v="https://t.corp.amazon.com/issues/V1863969245"/>
    <m/>
    <x v="1"/>
  </r>
  <r>
    <s v="18/07/2025 18:38:46"/>
    <x v="1"/>
    <s v="https://t.corp.amazon.com/issues/V1864016060"/>
    <m/>
    <x v="2"/>
  </r>
  <r>
    <s v="18/07/2025 18:38:46"/>
    <x v="1"/>
    <s v="https://t.corp.amazon.com/issues/V1863923920"/>
    <m/>
    <x v="3"/>
  </r>
  <r>
    <s v="18/07/2025 18:38:46"/>
    <x v="1"/>
    <s v="https://t.corp.amazon.com/issues/V1862451318"/>
    <m/>
    <x v="1"/>
  </r>
  <r>
    <s v="18/07/2025 18:40:13"/>
    <x v="1"/>
    <s v="https://t.corp.amazon.com/issues/V1862903749"/>
    <m/>
    <x v="2"/>
  </r>
  <r>
    <s v="18/07/2025 18:40:13"/>
    <x v="1"/>
    <s v="https://t.corp.amazon.com/issues/V1862451318"/>
    <m/>
    <x v="3"/>
  </r>
  <r>
    <s v="18/07/2025 18:40:13"/>
    <x v="1"/>
    <s v="https://t.corp.amazon.com/issues/V1863774300"/>
    <m/>
    <x v="1"/>
  </r>
  <r>
    <s v="18/07/2025 18:40:13"/>
    <x v="1"/>
    <s v="https://t.corp.amazon.com/issues/V1864329853"/>
    <m/>
    <x v="2"/>
  </r>
  <r>
    <s v="18/07/2025 18:57:12"/>
    <x v="0"/>
    <s v="https://t.corp.amazon.com/issues/V1863969283"/>
    <s v="stempijm"/>
    <x v="0"/>
  </r>
  <r>
    <s v="18/07/2025 18:57:12"/>
    <x v="0"/>
    <s v="https://t.corp.amazon.com/issues/V1863923898"/>
    <s v="vintaven"/>
    <x v="0"/>
  </r>
  <r>
    <s v="18/07/2025 18:57:12"/>
    <x v="0"/>
    <s v="https://t.corp.amazon.com/issues/V1861629720"/>
    <s v="abhidasa"/>
    <x v="0"/>
  </r>
  <r>
    <s v="18/07/2025 18:57:12"/>
    <x v="0"/>
    <s v="https://t.corp.amazon.com/issues/V1863969245"/>
    <s v="vintaven"/>
    <x v="0"/>
  </r>
  <r>
    <s v="18/07/2025 18:57:12"/>
    <x v="0"/>
    <s v="https://t.corp.amazon.com/issues/V1864368973"/>
    <s v="stempijm"/>
    <x v="0"/>
  </r>
  <r>
    <s v="18/07/2025 18:57:12"/>
    <x v="0"/>
    <s v="https://t.corp.amazon.com/issues/V1863720886"/>
    <s v="vintaven"/>
    <x v="0"/>
  </r>
  <r>
    <s v="18/07/2025 18:57:12"/>
    <x v="0"/>
    <s v="https://t.corp.amazon.com/issues/V1864329825"/>
    <s v="abhidasa"/>
    <x v="0"/>
  </r>
  <r>
    <s v="18/07/2025 18:57:12"/>
    <x v="0"/>
    <s v="https://t.corp.amazon.com/issues/V1861913942"/>
    <s v="stempijm"/>
    <x v="0"/>
  </r>
  <r>
    <s v="18/07/2025 18:57:12"/>
    <x v="0"/>
    <s v="https://t.corp.amazon.com/issues/V1864016060"/>
    <s v="abhidasa"/>
    <x v="0"/>
  </r>
  <r>
    <s v="18/07/2025 18:57:12"/>
    <x v="0"/>
    <s v="https://t.corp.amazon.com/issues/V1863542751"/>
    <s v="abhidasa"/>
    <x v="0"/>
  </r>
  <r>
    <s v="18/07/2025 18:57:12"/>
    <x v="0"/>
    <s v="https://t.corp.amazon.com/issues/V1863923920"/>
    <s v="stempijm"/>
    <x v="0"/>
  </r>
  <r>
    <s v="18/07/2025 18:57:12"/>
    <x v="0"/>
    <s v="https://t.corp.amazon.com/issues/V1863969261"/>
    <s v="stempijm"/>
    <x v="0"/>
  </r>
  <r>
    <s v="18/07/2025 18:57:12"/>
    <x v="0"/>
    <s v="https://t.corp.amazon.com/issues/V1861843747"/>
    <s v="vintaven"/>
    <x v="0"/>
  </r>
  <r>
    <s v="18/07/2025 18:57:12"/>
    <x v="0"/>
    <s v="https://t.corp.amazon.com/issues/V1862903749"/>
    <s v="abhidasa"/>
    <x v="0"/>
  </r>
  <r>
    <s v="18/07/2025 18:57:12"/>
    <x v="0"/>
    <s v="https://t.corp.amazon.com/issues/V1862451318"/>
    <s v="vintaven"/>
    <x v="0"/>
  </r>
  <r>
    <s v="18/07/2025 18:57:12"/>
    <x v="0"/>
    <s v="https://t.corp.amazon.com/issues/V1863774300"/>
    <s v="stempijm"/>
    <x v="0"/>
  </r>
  <r>
    <s v="18/07/2025 18:57:12"/>
    <x v="0"/>
    <s v="https://t.corp.amazon.com/issues/V1864329853"/>
    <s v="vintaven"/>
    <x v="0"/>
  </r>
  <r>
    <s v="18/07/2025 18:57:12"/>
    <x v="0"/>
    <s v="https://t.corp.amazon.com/issues/V1862903749"/>
    <s v="abhidasa"/>
    <x v="0"/>
  </r>
  <r>
    <s v="18/07/2025 18:57:12"/>
    <x v="0"/>
    <s v="https://t.corp.amazon.com/issues/V1862451318"/>
    <s v="stempijm"/>
    <x v="0"/>
  </r>
  <r>
    <s v="18/07/2025 18:57:12"/>
    <x v="0"/>
    <s v="https://t.corp.amazon.com/issues/V1863774300"/>
    <s v="vintaven"/>
    <x v="0"/>
  </r>
  <r>
    <s v="18/07/2025 18:57:12"/>
    <x v="0"/>
    <s v="https://t.corp.amazon.com/issues/V1864329853"/>
    <s v="abhidasa"/>
    <x v="0"/>
  </r>
  <r>
    <s v="18/07/2025 18:57:12"/>
    <x v="1"/>
    <s v="https://t.corp.amazon.com/issues/V1863969283"/>
    <m/>
    <x v="4"/>
  </r>
  <r>
    <s v="18/07/2025 18:57:12"/>
    <x v="1"/>
    <s v="https://t.corp.amazon.com/issues/V1863923898"/>
    <m/>
    <x v="5"/>
  </r>
  <r>
    <s v="18/07/2025 18:57:12"/>
    <x v="1"/>
    <s v="https://t.corp.amazon.com/issues/V1861629720"/>
    <m/>
    <x v="6"/>
  </r>
  <r>
    <s v="18/07/2025 18:57:12"/>
    <x v="1"/>
    <s v="https://t.corp.amazon.com/issues/V1863969245"/>
    <m/>
    <x v="7"/>
  </r>
  <r>
    <s v="18/07/2025 18:57:12"/>
    <x v="1"/>
    <s v="https://t.corp.amazon.com/issues/V1864368973"/>
    <m/>
    <x v="4"/>
  </r>
  <r>
    <s v="18/07/2025 18:57:12"/>
    <x v="1"/>
    <s v="https://t.corp.amazon.com/issues/V1863720886"/>
    <m/>
    <x v="5"/>
  </r>
  <r>
    <s v="18/07/2025 18:57:12"/>
    <x v="1"/>
    <s v="https://t.corp.amazon.com/issues/V1864329825"/>
    <m/>
    <x v="6"/>
  </r>
  <r>
    <s v="18/07/2025 18:57:12"/>
    <x v="1"/>
    <s v="https://t.corp.amazon.com/issues/V1861913942"/>
    <m/>
    <x v="7"/>
  </r>
  <r>
    <s v="18/07/2025 18:57:12"/>
    <x v="1"/>
    <s v="https://t.corp.amazon.com/issues/V1864016060"/>
    <m/>
    <x v="4"/>
  </r>
  <r>
    <s v="18/07/2025 18:57:12"/>
    <x v="1"/>
    <s v="https://t.corp.amazon.com/issues/V1863542751"/>
    <m/>
    <x v="5"/>
  </r>
  <r>
    <s v="18/07/2025 18:57:12"/>
    <x v="1"/>
    <s v="https://t.corp.amazon.com/issues/V1863923920"/>
    <m/>
    <x v="6"/>
  </r>
  <r>
    <s v="18/07/2025 18:57:12"/>
    <x v="1"/>
    <s v="https://t.corp.amazon.com/issues/V1863969261"/>
    <m/>
    <x v="7"/>
  </r>
  <r>
    <s v="18/07/2025 18:57:12"/>
    <x v="1"/>
    <s v="https://t.corp.amazon.com/issues/V1861843747"/>
    <m/>
    <x v="4"/>
  </r>
  <r>
    <s v="18/07/2025 18:57:12"/>
    <x v="1"/>
    <s v="https://t.corp.amazon.com/issues/V1862903749"/>
    <m/>
    <x v="5"/>
  </r>
  <r>
    <s v="18/07/2025 18:57:12"/>
    <x v="1"/>
    <s v="https://t.corp.amazon.com/issues/V1862451318"/>
    <m/>
    <x v="6"/>
  </r>
  <r>
    <s v="18/07/2025 18:57:12"/>
    <x v="1"/>
    <s v="https://t.corp.amazon.com/issues/V1863774300"/>
    <m/>
    <x v="7"/>
  </r>
  <r>
    <s v="18/07/2025 18:57:12"/>
    <x v="1"/>
    <s v="https://t.corp.amazon.com/issues/V1864329853"/>
    <m/>
    <x v="4"/>
  </r>
  <r>
    <s v="18/07/2025 18:57:12"/>
    <x v="1"/>
    <s v="https://t.corp.amazon.com/issues/V1862903749"/>
    <m/>
    <x v="5"/>
  </r>
  <r>
    <s v="18/07/2025 18:57:12"/>
    <x v="1"/>
    <s v="https://t.corp.amazon.com/issues/V1862451318"/>
    <m/>
    <x v="6"/>
  </r>
  <r>
    <s v="18/07/2025 18:57:12"/>
    <x v="1"/>
    <s v="https://t.corp.amazon.com/issues/V1863774300"/>
    <m/>
    <x v="7"/>
  </r>
  <r>
    <s v="18/07/2025 18:57:12"/>
    <x v="1"/>
    <s v="https://t.corp.amazon.com/issues/V1864329853"/>
    <m/>
    <x v="4"/>
  </r>
  <r>
    <s v="18/07/2025 18:57:36"/>
    <x v="0"/>
    <s v="https://t.corp.amazon.com/issues/V1863923898"/>
    <s v="ssomawal"/>
    <x v="0"/>
  </r>
  <r>
    <s v="18/07/2025 18:57:36"/>
    <x v="0"/>
    <s v="https://t.corp.amazon.com/issues/V1863720886"/>
    <s v="ssomawal"/>
    <x v="0"/>
  </r>
  <r>
    <s v="18/07/2025 18:57:36"/>
    <x v="0"/>
    <s v="https://t.corp.amazon.com/issues/V1863542751"/>
    <s v="ssomawal"/>
    <x v="0"/>
  </r>
  <r>
    <s v="18/07/2025 18:57:36"/>
    <x v="0"/>
    <s v="https://t.corp.amazon.com/issues/V1862903749"/>
    <s v="ssomawal"/>
    <x v="0"/>
  </r>
  <r>
    <s v="18/07/2025 18:57:36"/>
    <x v="0"/>
    <s v="https://t.corp.amazon.com/issues/V1862903749"/>
    <s v="ssomawal"/>
    <x v="0"/>
  </r>
  <r>
    <s v="18/07/2025 18:57:36"/>
    <x v="1"/>
    <s v="https://t.corp.amazon.com/issues/V1863923898"/>
    <m/>
    <x v="8"/>
  </r>
  <r>
    <s v="18/07/2025 18:57:36"/>
    <x v="1"/>
    <s v="https://t.corp.amazon.com/issues/V1863720886"/>
    <m/>
    <x v="8"/>
  </r>
  <r>
    <s v="18/07/2025 18:57:36"/>
    <x v="1"/>
    <s v="https://t.corp.amazon.com/issues/V1863542751"/>
    <m/>
    <x v="8"/>
  </r>
  <r>
    <s v="18/07/2025 18:57:36"/>
    <x v="1"/>
    <s v="https://t.corp.amazon.com/issues/V1862903749"/>
    <m/>
    <x v="8"/>
  </r>
  <r>
    <s v="18/07/2025 18:57:36"/>
    <x v="1"/>
    <s v="https://t.corp.amazon.com/issues/V1862903749"/>
    <m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2D68D6-6594-4212-9B5D-1DDAE4B7E937}" name="SIMPivot" cacheId="0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B5:E16" firstHeaderRow="1" firstDataRow="2" firstDataCol="1"/>
  <pivotFields count="5">
    <pivotField showAll="0"/>
    <pivotField axis="axisCol" showAll="0">
      <items count="3">
        <item x="0"/>
        <item x="1"/>
        <item t="default"/>
      </items>
    </pivotField>
    <pivotField dataField="1" showAll="0"/>
    <pivotField showAll="0"/>
    <pivotField axis="axisRow" showAll="0">
      <items count="10">
        <item x="2"/>
        <item x="6"/>
        <item x="4"/>
        <item x="8"/>
        <item x="5"/>
        <item x="3"/>
        <item x="1"/>
        <item x="7"/>
        <item x="0"/>
        <item t="default"/>
      </items>
    </pivotField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SIMs" fld="2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0</v>
    <v>3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9"/>
  <sheetViews>
    <sheetView zoomScale="115" zoomScaleNormal="115" workbookViewId="0">
      <pane ySplit="1" topLeftCell="A2" activePane="bottomLeft" state="frozen"/>
      <selection activeCell="C1" sqref="C1"/>
      <selection pane="bottomLeft" activeCell="A49" sqref="A49"/>
    </sheetView>
  </sheetViews>
  <sheetFormatPr defaultRowHeight="14.5"/>
  <cols>
    <col min="1" max="1" width="36.08984375" bestFit="1" customWidth="1"/>
    <col min="2" max="2" width="41.90625" bestFit="1" customWidth="1"/>
    <col min="3" max="3" width="7.453125" bestFit="1" customWidth="1"/>
    <col min="4" max="4" width="11.90625" bestFit="1" customWidth="1"/>
    <col min="5" max="5" width="37.90625" bestFit="1" customWidth="1"/>
    <col min="6" max="6" width="15.08984375" bestFit="1" customWidth="1"/>
    <col min="7" max="7" width="14.7265625" bestFit="1" customWidth="1"/>
    <col min="8" max="8" width="14" bestFit="1" customWidth="1"/>
    <col min="9" max="10" width="22.906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>
      <c r="A2" t="s">
        <v>65</v>
      </c>
      <c r="B2" s="2" t="s">
        <v>66</v>
      </c>
      <c r="C2">
        <v>3</v>
      </c>
      <c r="D2" t="s">
        <v>67</v>
      </c>
      <c r="E2" t="s">
        <v>68</v>
      </c>
      <c r="F2" t="s">
        <v>10</v>
      </c>
      <c r="G2" t="s">
        <v>101</v>
      </c>
      <c r="H2" t="s">
        <v>11</v>
      </c>
      <c r="I2" t="s">
        <v>69</v>
      </c>
      <c r="J2" t="s">
        <v>70</v>
      </c>
    </row>
    <row r="3" spans="1:10">
      <c r="A3" t="s">
        <v>120</v>
      </c>
      <c r="B3" s="2" t="s">
        <v>121</v>
      </c>
      <c r="C3">
        <v>3</v>
      </c>
      <c r="D3" t="s">
        <v>122</v>
      </c>
      <c r="E3" t="s">
        <v>123</v>
      </c>
      <c r="F3" t="s">
        <v>10</v>
      </c>
      <c r="G3" t="s">
        <v>97</v>
      </c>
      <c r="H3" t="s">
        <v>11</v>
      </c>
      <c r="I3" t="s">
        <v>124</v>
      </c>
      <c r="J3" t="s">
        <v>125</v>
      </c>
    </row>
    <row r="4" spans="1:10">
      <c r="A4" t="s">
        <v>12</v>
      </c>
      <c r="B4" s="2" t="s">
        <v>13</v>
      </c>
      <c r="C4">
        <v>3</v>
      </c>
      <c r="D4" t="s">
        <v>14</v>
      </c>
      <c r="E4" t="s">
        <v>15</v>
      </c>
      <c r="F4" t="s">
        <v>10</v>
      </c>
      <c r="G4" t="s">
        <v>64</v>
      </c>
      <c r="H4" t="s">
        <v>11</v>
      </c>
      <c r="I4" t="s">
        <v>16</v>
      </c>
      <c r="J4" t="s">
        <v>126</v>
      </c>
    </row>
    <row r="5" spans="1:10">
      <c r="A5" t="s">
        <v>17</v>
      </c>
      <c r="B5" s="2" t="s">
        <v>18</v>
      </c>
      <c r="C5">
        <v>3</v>
      </c>
      <c r="D5" t="s">
        <v>19</v>
      </c>
      <c r="E5" t="s">
        <v>20</v>
      </c>
      <c r="F5" t="s">
        <v>10</v>
      </c>
      <c r="G5" t="s">
        <v>71</v>
      </c>
      <c r="H5" t="s">
        <v>11</v>
      </c>
      <c r="I5" t="s">
        <v>21</v>
      </c>
      <c r="J5" t="s">
        <v>72</v>
      </c>
    </row>
    <row r="6" spans="1:10">
      <c r="A6" t="s">
        <v>73</v>
      </c>
      <c r="B6" s="2" t="s">
        <v>74</v>
      </c>
      <c r="C6">
        <v>3</v>
      </c>
      <c r="D6" t="s">
        <v>75</v>
      </c>
      <c r="E6" t="s">
        <v>76</v>
      </c>
      <c r="F6" t="s">
        <v>10</v>
      </c>
      <c r="G6" t="s">
        <v>58</v>
      </c>
      <c r="H6" t="s">
        <v>11</v>
      </c>
      <c r="I6" t="s">
        <v>77</v>
      </c>
      <c r="J6" t="s">
        <v>78</v>
      </c>
    </row>
    <row r="7" spans="1:10">
      <c r="A7" t="s">
        <v>33</v>
      </c>
      <c r="B7" s="2" t="s">
        <v>34</v>
      </c>
      <c r="C7">
        <v>3</v>
      </c>
      <c r="D7" t="s">
        <v>35</v>
      </c>
      <c r="E7" t="s">
        <v>79</v>
      </c>
      <c r="F7" t="s">
        <v>10</v>
      </c>
      <c r="G7" t="s">
        <v>62</v>
      </c>
      <c r="H7" t="s">
        <v>11</v>
      </c>
      <c r="I7" t="s">
        <v>36</v>
      </c>
      <c r="J7" t="s">
        <v>127</v>
      </c>
    </row>
    <row r="8" spans="1:10">
      <c r="A8" t="s">
        <v>80</v>
      </c>
      <c r="B8" s="2" t="s">
        <v>81</v>
      </c>
      <c r="C8">
        <v>3</v>
      </c>
      <c r="D8" t="s">
        <v>82</v>
      </c>
      <c r="E8" t="s">
        <v>32</v>
      </c>
      <c r="F8" t="s">
        <v>10</v>
      </c>
      <c r="G8" t="s">
        <v>71</v>
      </c>
      <c r="H8" t="s">
        <v>11</v>
      </c>
      <c r="I8" t="s">
        <v>83</v>
      </c>
      <c r="J8" t="s">
        <v>84</v>
      </c>
    </row>
    <row r="9" spans="1:10">
      <c r="A9" t="s">
        <v>128</v>
      </c>
      <c r="B9" s="2" t="s">
        <v>129</v>
      </c>
      <c r="C9">
        <v>3</v>
      </c>
      <c r="D9" t="s">
        <v>130</v>
      </c>
      <c r="E9" t="s">
        <v>131</v>
      </c>
      <c r="F9" t="s">
        <v>132</v>
      </c>
      <c r="G9" t="s">
        <v>91</v>
      </c>
      <c r="H9" t="s">
        <v>11</v>
      </c>
      <c r="I9" t="s">
        <v>133</v>
      </c>
      <c r="J9" t="s">
        <v>134</v>
      </c>
    </row>
    <row r="10" spans="1:10">
      <c r="A10" t="s">
        <v>22</v>
      </c>
      <c r="B10" s="2" t="s">
        <v>23</v>
      </c>
      <c r="C10">
        <v>3</v>
      </c>
      <c r="D10" t="s">
        <v>24</v>
      </c>
      <c r="E10" t="s">
        <v>25</v>
      </c>
      <c r="F10" t="s">
        <v>10</v>
      </c>
      <c r="G10" t="s">
        <v>85</v>
      </c>
      <c r="H10" t="s">
        <v>11</v>
      </c>
      <c r="I10" t="s">
        <v>26</v>
      </c>
      <c r="J10" t="s">
        <v>135</v>
      </c>
    </row>
    <row r="11" spans="1:10">
      <c r="A11" t="s">
        <v>86</v>
      </c>
      <c r="B11" s="2" t="s">
        <v>87</v>
      </c>
      <c r="C11">
        <v>3</v>
      </c>
      <c r="D11" t="s">
        <v>88</v>
      </c>
      <c r="E11" t="s">
        <v>89</v>
      </c>
      <c r="F11" t="s">
        <v>10</v>
      </c>
      <c r="G11" t="s">
        <v>64</v>
      </c>
      <c r="H11" t="s">
        <v>11</v>
      </c>
      <c r="I11" t="s">
        <v>90</v>
      </c>
      <c r="J11" t="s">
        <v>136</v>
      </c>
    </row>
    <row r="12" spans="1:10">
      <c r="A12" t="s">
        <v>37</v>
      </c>
      <c r="B12" s="2" t="s">
        <v>38</v>
      </c>
      <c r="C12">
        <v>3</v>
      </c>
      <c r="D12" t="s">
        <v>39</v>
      </c>
      <c r="E12" t="s">
        <v>40</v>
      </c>
      <c r="F12" t="s">
        <v>10</v>
      </c>
      <c r="G12" t="s">
        <v>91</v>
      </c>
      <c r="H12" t="s">
        <v>11</v>
      </c>
      <c r="I12" t="s">
        <v>41</v>
      </c>
      <c r="J12" t="s">
        <v>92</v>
      </c>
    </row>
    <row r="13" spans="1:10">
      <c r="A13" t="s">
        <v>137</v>
      </c>
      <c r="B13" s="2" t="s">
        <v>138</v>
      </c>
      <c r="C13">
        <v>3</v>
      </c>
      <c r="D13" t="s">
        <v>139</v>
      </c>
      <c r="E13" t="s">
        <v>140</v>
      </c>
      <c r="F13" t="s">
        <v>132</v>
      </c>
      <c r="G13" t="s">
        <v>61</v>
      </c>
      <c r="H13" t="s">
        <v>11</v>
      </c>
      <c r="I13" t="s">
        <v>141</v>
      </c>
      <c r="J13" t="s">
        <v>142</v>
      </c>
    </row>
    <row r="14" spans="1:10">
      <c r="A14" s="1" t="s">
        <v>27</v>
      </c>
      <c r="B14" s="2" t="s">
        <v>28</v>
      </c>
      <c r="C14">
        <v>3</v>
      </c>
      <c r="D14" t="s">
        <v>29</v>
      </c>
      <c r="E14" t="s">
        <v>30</v>
      </c>
      <c r="F14" t="s">
        <v>10</v>
      </c>
      <c r="G14" t="s">
        <v>64</v>
      </c>
      <c r="H14" t="s">
        <v>11</v>
      </c>
      <c r="I14" t="s">
        <v>31</v>
      </c>
      <c r="J14" t="s">
        <v>143</v>
      </c>
    </row>
    <row r="15" spans="1:10">
      <c r="A15" t="s">
        <v>144</v>
      </c>
      <c r="B15" s="2" t="s">
        <v>145</v>
      </c>
      <c r="C15">
        <v>3</v>
      </c>
      <c r="D15" t="s">
        <v>146</v>
      </c>
      <c r="E15" t="s">
        <v>147</v>
      </c>
      <c r="F15" t="s">
        <v>132</v>
      </c>
      <c r="G15" t="s">
        <v>61</v>
      </c>
      <c r="H15" t="s">
        <v>11</v>
      </c>
      <c r="I15" t="s">
        <v>148</v>
      </c>
      <c r="J15" t="s">
        <v>149</v>
      </c>
    </row>
    <row r="16" spans="1:10">
      <c r="A16" t="s">
        <v>93</v>
      </c>
      <c r="B16" s="2" t="s">
        <v>94</v>
      </c>
      <c r="C16">
        <v>3</v>
      </c>
      <c r="D16" t="s">
        <v>95</v>
      </c>
      <c r="E16" t="s">
        <v>96</v>
      </c>
      <c r="F16" t="s">
        <v>10</v>
      </c>
      <c r="G16" t="s">
        <v>97</v>
      </c>
      <c r="H16" t="s">
        <v>11</v>
      </c>
      <c r="I16" t="s">
        <v>98</v>
      </c>
      <c r="J16" t="s">
        <v>99</v>
      </c>
    </row>
    <row r="17" spans="1:10">
      <c r="A17" t="s">
        <v>42</v>
      </c>
      <c r="B17" s="2" t="s">
        <v>43</v>
      </c>
      <c r="C17">
        <v>3</v>
      </c>
      <c r="D17" t="s">
        <v>44</v>
      </c>
      <c r="E17" t="s">
        <v>45</v>
      </c>
      <c r="F17" t="s">
        <v>10</v>
      </c>
      <c r="G17" t="s">
        <v>85</v>
      </c>
      <c r="H17" t="s">
        <v>11</v>
      </c>
      <c r="I17" t="s">
        <v>46</v>
      </c>
      <c r="J17" t="s">
        <v>100</v>
      </c>
    </row>
    <row r="18" spans="1:10">
      <c r="A18" t="s">
        <v>150</v>
      </c>
      <c r="B18" s="2" t="s">
        <v>151</v>
      </c>
      <c r="C18">
        <v>3</v>
      </c>
      <c r="D18" t="s">
        <v>152</v>
      </c>
      <c r="E18" t="s">
        <v>153</v>
      </c>
      <c r="F18" t="s">
        <v>10</v>
      </c>
      <c r="G18" t="s">
        <v>63</v>
      </c>
      <c r="H18" t="s">
        <v>11</v>
      </c>
      <c r="I18" t="s">
        <v>154</v>
      </c>
      <c r="J18" t="s">
        <v>155</v>
      </c>
    </row>
    <row r="19" spans="1:10">
      <c r="A19" t="s">
        <v>47</v>
      </c>
      <c r="B19" s="2" t="s">
        <v>48</v>
      </c>
      <c r="C19">
        <v>3</v>
      </c>
      <c r="D19" t="s">
        <v>49</v>
      </c>
      <c r="E19" t="s">
        <v>50</v>
      </c>
      <c r="F19" t="s">
        <v>10</v>
      </c>
      <c r="G19" t="s">
        <v>58</v>
      </c>
      <c r="H19" t="s">
        <v>11</v>
      </c>
      <c r="I19" t="s">
        <v>51</v>
      </c>
      <c r="J19" t="s">
        <v>156</v>
      </c>
    </row>
    <row r="20" spans="1:10">
      <c r="A20" t="s">
        <v>52</v>
      </c>
      <c r="B20" s="2" t="s">
        <v>53</v>
      </c>
      <c r="C20">
        <v>3</v>
      </c>
      <c r="D20" t="s">
        <v>54</v>
      </c>
      <c r="E20" t="s">
        <v>55</v>
      </c>
      <c r="F20" t="s">
        <v>10</v>
      </c>
      <c r="G20" t="s">
        <v>101</v>
      </c>
      <c r="H20" t="s">
        <v>11</v>
      </c>
      <c r="I20" t="s">
        <v>56</v>
      </c>
      <c r="J20" t="s">
        <v>102</v>
      </c>
    </row>
    <row r="21" spans="1:10">
      <c r="A21" t="s">
        <v>157</v>
      </c>
      <c r="B21" s="2" t="s">
        <v>158</v>
      </c>
      <c r="C21">
        <v>3</v>
      </c>
      <c r="D21" t="s">
        <v>159</v>
      </c>
      <c r="E21" t="s">
        <v>160</v>
      </c>
      <c r="F21" t="s">
        <v>132</v>
      </c>
      <c r="G21" t="s">
        <v>63</v>
      </c>
      <c r="H21" t="s">
        <v>11</v>
      </c>
      <c r="I21" t="s">
        <v>161</v>
      </c>
      <c r="J21" t="s">
        <v>162</v>
      </c>
    </row>
    <row r="22" spans="1:10">
      <c r="A22" t="s">
        <v>163</v>
      </c>
      <c r="B22" s="2" t="s">
        <v>164</v>
      </c>
      <c r="C22">
        <v>3</v>
      </c>
      <c r="D22" t="s">
        <v>165</v>
      </c>
      <c r="E22" t="s">
        <v>166</v>
      </c>
      <c r="F22" t="s">
        <v>10</v>
      </c>
      <c r="G22" t="s">
        <v>63</v>
      </c>
      <c r="H22" t="s">
        <v>11</v>
      </c>
      <c r="I22" t="s">
        <v>167</v>
      </c>
      <c r="J22" t="s">
        <v>168</v>
      </c>
    </row>
    <row r="23" spans="1:10">
      <c r="A23" t="s">
        <v>103</v>
      </c>
      <c r="B23" s="2" t="s">
        <v>104</v>
      </c>
      <c r="C23">
        <v>3</v>
      </c>
      <c r="D23" t="s">
        <v>105</v>
      </c>
      <c r="E23" t="s">
        <v>106</v>
      </c>
      <c r="F23" t="s">
        <v>10</v>
      </c>
      <c r="G23" t="s">
        <v>62</v>
      </c>
      <c r="H23" t="s">
        <v>11</v>
      </c>
      <c r="I23" t="s">
        <v>107</v>
      </c>
      <c r="J23" t="s">
        <v>169</v>
      </c>
    </row>
    <row r="49" spans="1:1">
      <c r="A49" t="s">
        <v>171</v>
      </c>
    </row>
  </sheetData>
  <conditionalFormatting sqref="G103:G132">
    <cfRule type="cellIs" dxfId="2" priority="9" operator="equal">
      <formula>""""""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MasterSIMManager">
                <anchor>
                  <from>
                    <xdr:col>10</xdr:col>
                    <xdr:colOff>590550</xdr:colOff>
                    <xdr:row>1</xdr:row>
                    <xdr:rowOff>19050</xdr:rowOff>
                  </from>
                  <to>
                    <xdr:col>14</xdr:col>
                    <xdr:colOff>546100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GenerateSIMDashboard">
                <anchor>
                  <from>
                    <xdr:col>10</xdr:col>
                    <xdr:colOff>571500</xdr:colOff>
                    <xdr:row>6</xdr:row>
                    <xdr:rowOff>69850</xdr:rowOff>
                  </from>
                  <to>
                    <xdr:col>14</xdr:col>
                    <xdr:colOff>577850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36C88-EEE2-423E-BF1A-B79FCED5B318}">
  <dimension ref="A1:O14"/>
  <sheetViews>
    <sheetView workbookViewId="0">
      <selection activeCell="H13" sqref="A1:XFD1048576"/>
    </sheetView>
  </sheetViews>
  <sheetFormatPr defaultRowHeight="14.5"/>
  <cols>
    <col min="1" max="1" width="40.08984375" bestFit="1" customWidth="1"/>
    <col min="2" max="2" width="34.08984375" bestFit="1" customWidth="1"/>
    <col min="3" max="3" width="13.90625" bestFit="1" customWidth="1"/>
    <col min="5" max="5" width="8.54296875" bestFit="1" customWidth="1"/>
    <col min="6" max="6" width="9.6328125" bestFit="1" customWidth="1"/>
    <col min="8" max="8" width="14.54296875" bestFit="1" customWidth="1"/>
    <col min="11" max="15" width="18.1796875" bestFit="1" customWidth="1"/>
  </cols>
  <sheetData>
    <row r="1" spans="1:15" ht="23.5">
      <c r="A1" s="12" t="s">
        <v>113</v>
      </c>
    </row>
    <row r="2" spans="1:15">
      <c r="K2" s="13" t="s">
        <v>189</v>
      </c>
      <c r="L2" s="13" t="s">
        <v>187</v>
      </c>
      <c r="M2" s="13" t="s">
        <v>190</v>
      </c>
      <c r="N2" s="13" t="s">
        <v>191</v>
      </c>
      <c r="O2" s="13" t="s">
        <v>192</v>
      </c>
    </row>
    <row r="3" spans="1:15" ht="21">
      <c r="A3" s="11" t="s">
        <v>172</v>
      </c>
      <c r="B3" s="14" t="s">
        <v>173</v>
      </c>
      <c r="C3" s="11" t="s">
        <v>174</v>
      </c>
      <c r="E3" s="10" t="s">
        <v>185</v>
      </c>
      <c r="F3" s="10" t="s">
        <v>186</v>
      </c>
      <c r="H3" s="10" t="s">
        <v>187</v>
      </c>
      <c r="I3" s="10" t="s">
        <v>188</v>
      </c>
      <c r="K3" t="e" cm="1">
        <f t="array" ref="K3">INDEX(DistributionLog!A:A, COUNTA(DistributionLog!A:A)-10+ROW(A1))</f>
        <v>#VALUE!</v>
      </c>
      <c r="L3" t="e" cm="1">
        <f t="array" ref="L3">INDEX(DistributionLog!A:A, COUNTA(DistributionLog!A:A)-10+ROW(A1))</f>
        <v>#VALUE!</v>
      </c>
      <c r="M3" t="e" cm="1">
        <f t="array" ref="M3">INDEX(DistributionLog!A:A, COUNTA(DistributionLog!A:A)-10+ROW(A1))</f>
        <v>#VALUE!</v>
      </c>
      <c r="N3" t="e" cm="1">
        <f t="array" ref="N3">INDEX(DistributionLog!A:A, COUNTA(DistributionLog!A:A)-10+ROW(A1))</f>
        <v>#VALUE!</v>
      </c>
      <c r="O3" t="e" cm="1">
        <f t="array" ref="O3">INDEX(DistributionLog!A:A, COUNTA(DistributionLog!A:A)-10+ROW(A1))</f>
        <v>#VALUE!</v>
      </c>
    </row>
    <row r="4" spans="1:15" ht="21">
      <c r="A4" s="18" t="s">
        <v>175</v>
      </c>
      <c r="B4" s="15" t="s">
        <v>176</v>
      </c>
      <c r="C4" s="16">
        <f>COUNTA('SIM Lobby'!B2:B10000)</f>
        <v>22</v>
      </c>
      <c r="E4" t="s">
        <v>62</v>
      </c>
      <c r="F4">
        <f>COUNTIF('SIM Lobby'!G:G, E4)</f>
        <v>2</v>
      </c>
      <c r="H4" t="s">
        <v>60</v>
      </c>
      <c r="I4">
        <f>COUNTIF(DistributionLog!B:B, H4)</f>
        <v>0</v>
      </c>
      <c r="K4" t="e" cm="1">
        <f t="array" ref="K4">INDEX(DistributionLog!A:A, COUNTA(DistributionLog!A:A)-10+ROW(A2))</f>
        <v>#VALUE!</v>
      </c>
      <c r="L4" t="e" cm="1">
        <f t="array" ref="L4">INDEX(DistributionLog!A:A, COUNTA(DistributionLog!A:A)-10+ROW(A2))</f>
        <v>#VALUE!</v>
      </c>
      <c r="M4" t="e" cm="1">
        <f t="array" ref="M4">INDEX(DistributionLog!A:A, COUNTA(DistributionLog!A:A)-10+ROW(A2))</f>
        <v>#VALUE!</v>
      </c>
      <c r="N4" t="e" cm="1">
        <f t="array" ref="N4">INDEX(DistributionLog!A:A, COUNTA(DistributionLog!A:A)-10+ROW(A2))</f>
        <v>#VALUE!</v>
      </c>
      <c r="O4" t="e" cm="1">
        <f t="array" ref="O4">INDEX(DistributionLog!A:A, COUNTA(DistributionLog!A:A)-10+ROW(A2))</f>
        <v>#VALUE!</v>
      </c>
    </row>
    <row r="5" spans="1:15" ht="21">
      <c r="A5" s="18" t="s">
        <v>177</v>
      </c>
      <c r="B5" s="15" t="s">
        <v>178</v>
      </c>
      <c r="C5" s="17">
        <f>COUNTA(ActiveHC!A2:A1000)</f>
        <v>10</v>
      </c>
      <c r="E5" t="s">
        <v>97</v>
      </c>
      <c r="H5" t="s">
        <v>108</v>
      </c>
      <c r="I5">
        <f>COUNTIF(DistributionLog!B:B, H5)</f>
        <v>4</v>
      </c>
      <c r="K5" t="e" cm="1">
        <f t="array" ref="K5">INDEX(DistributionLog!A:A, COUNTA(DistributionLog!A:A)-10+ROW(A3))</f>
        <v>#VALUE!</v>
      </c>
      <c r="L5" t="e" cm="1">
        <f t="array" ref="L5">INDEX(DistributionLog!A:A, COUNTA(DistributionLog!A:A)-10+ROW(A3))</f>
        <v>#VALUE!</v>
      </c>
      <c r="M5" t="e" cm="1">
        <f t="array" ref="M5">INDEX(DistributionLog!A:A, COUNTA(DistributionLog!A:A)-10+ROW(A3))</f>
        <v>#VALUE!</v>
      </c>
      <c r="N5" t="e" cm="1">
        <f t="array" ref="N5">INDEX(DistributionLog!A:A, COUNTA(DistributionLog!A:A)-10+ROW(A3))</f>
        <v>#VALUE!</v>
      </c>
      <c r="O5" t="e" cm="1">
        <f t="array" ref="O5">INDEX(DistributionLog!A:A, COUNTA(DistributionLog!A:A)-10+ROW(A3))</f>
        <v>#VALUE!</v>
      </c>
    </row>
    <row r="6" spans="1:15" ht="21">
      <c r="A6" s="18" t="s">
        <v>179</v>
      </c>
      <c r="B6" s="15" t="s">
        <v>180</v>
      </c>
      <c r="C6" s="16">
        <f ca="1">COUNTIFS(DistributionLog!A:A,TODAY(),DistributionLog!B:B,"Newly Assigned")</f>
        <v>0</v>
      </c>
      <c r="E6" t="s">
        <v>64</v>
      </c>
      <c r="H6" t="s">
        <v>59</v>
      </c>
      <c r="I6">
        <f>COUNTIF(DistributionLog!B:B, H6)</f>
        <v>0</v>
      </c>
      <c r="K6" t="e" cm="1">
        <f t="array" ref="K6">INDEX(DistributionLog!A:A, COUNTA(DistributionLog!A:A)-10+ROW(A4))</f>
        <v>#VALUE!</v>
      </c>
      <c r="L6" t="e" cm="1">
        <f t="array" ref="L6">INDEX(DistributionLog!A:A, COUNTA(DistributionLog!A:A)-10+ROW(A4))</f>
        <v>#VALUE!</v>
      </c>
      <c r="M6" t="e" cm="1">
        <f t="array" ref="M6">INDEX(DistributionLog!A:A, COUNTA(DistributionLog!A:A)-10+ROW(A4))</f>
        <v>#VALUE!</v>
      </c>
      <c r="N6" t="e" cm="1">
        <f t="array" ref="N6">INDEX(DistributionLog!A:A, COUNTA(DistributionLog!A:A)-10+ROW(A4))</f>
        <v>#VALUE!</v>
      </c>
      <c r="O6" t="e" cm="1">
        <f t="array" ref="O6">INDEX(DistributionLog!A:A, COUNTA(DistributionLog!A:A)-10+ROW(A4))</f>
        <v>#VALUE!</v>
      </c>
    </row>
    <row r="7" spans="1:15" ht="21">
      <c r="A7" s="18" t="s">
        <v>181</v>
      </c>
      <c r="B7" s="15" t="s">
        <v>182</v>
      </c>
      <c r="C7" s="16">
        <f ca="1">COUNTIFS(DistributionLog!A:A,TODAY(),DistributionLog!B:B,"Fair Rebalance")</f>
        <v>0</v>
      </c>
      <c r="E7" t="s">
        <v>71</v>
      </c>
      <c r="K7" t="e" cm="1" vm="1">
        <f t="array" aca="1" ref="K7" ca="1">INDEX(DistributionLog!A:A, COUNTA(DistributionLog!A:A)-10+ROW(A5))</f>
        <v>#VALUE!</v>
      </c>
      <c r="L7" t="e" cm="1" vm="1">
        <f t="array" aca="1" ref="L7" ca="1">INDEX(DistributionLog!A:A, COUNTA(DistributionLog!A:A)-10+ROW(A5))</f>
        <v>#VALUE!</v>
      </c>
      <c r="M7" t="e" cm="1" vm="1">
        <f t="array" aca="1" ref="M7" ca="1">INDEX(DistributionLog!A:A, COUNTA(DistributionLog!A:A)-10+ROW(A5))</f>
        <v>#VALUE!</v>
      </c>
      <c r="N7" t="e" cm="1" vm="1">
        <f t="array" aca="1" ref="N7" ca="1">INDEX(DistributionLog!A:A, COUNTA(DistributionLog!A:A)-10+ROW(A5))</f>
        <v>#VALUE!</v>
      </c>
      <c r="O7" t="e" cm="1" vm="1">
        <f t="array" aca="1" ref="O7" ca="1">INDEX(DistributionLog!A:A, COUNTA(DistributionLog!A:A)-10+ROW(A5))</f>
        <v>#VALUE!</v>
      </c>
    </row>
    <row r="8" spans="1:15" ht="21">
      <c r="A8" s="18" t="s">
        <v>183</v>
      </c>
      <c r="B8" s="15" t="s">
        <v>184</v>
      </c>
      <c r="C8" s="16">
        <f ca="1">COUNTIFS(DistributionLog!A:A,TODAY(),DistributionLog!B:B,"Leaver Cleanup")</f>
        <v>0</v>
      </c>
      <c r="E8" t="s">
        <v>58</v>
      </c>
      <c r="K8" t="str" cm="1">
        <f t="array" ref="K8">INDEX(DistributionLog!A:A, COUNTA(DistributionLog!A:A)-10+ROW(A6))</f>
        <v xml:space="preserve">Timestamp </v>
      </c>
      <c r="L8" t="str" cm="1">
        <f t="array" ref="L8">INDEX(DistributionLog!A:A, COUNTA(DistributionLog!A:A)-10+ROW(A6))</f>
        <v xml:space="preserve">Timestamp </v>
      </c>
      <c r="M8" t="str" cm="1">
        <f t="array" ref="M8">INDEX(DistributionLog!A:A, COUNTA(DistributionLog!A:A)-10+ROW(A6))</f>
        <v xml:space="preserve">Timestamp </v>
      </c>
      <c r="N8" t="str" cm="1">
        <f t="array" ref="N8">INDEX(DistributionLog!A:A, COUNTA(DistributionLog!A:A)-10+ROW(A6))</f>
        <v xml:space="preserve">Timestamp </v>
      </c>
      <c r="O8" t="str" cm="1">
        <f t="array" ref="O8">INDEX(DistributionLog!A:A, COUNTA(DistributionLog!A:A)-10+ROW(A6))</f>
        <v xml:space="preserve">Timestamp </v>
      </c>
    </row>
    <row r="9" spans="1:15">
      <c r="E9" t="s">
        <v>63</v>
      </c>
      <c r="K9" t="str" cm="1">
        <f t="array" ref="K9">INDEX(DistributionLog!A:A, COUNTA(DistributionLog!A:A)-10+ROW(A7))</f>
        <v>18/07/2025 19:54:08</v>
      </c>
      <c r="L9" t="str" cm="1">
        <f t="array" ref="L9">INDEX(DistributionLog!A:A, COUNTA(DistributionLog!A:A)-10+ROW(A7))</f>
        <v>18/07/2025 19:54:08</v>
      </c>
      <c r="M9" t="str" cm="1">
        <f t="array" ref="M9">INDEX(DistributionLog!A:A, COUNTA(DistributionLog!A:A)-10+ROW(A7))</f>
        <v>18/07/2025 19:54:08</v>
      </c>
      <c r="N9" t="str" cm="1">
        <f t="array" ref="N9">INDEX(DistributionLog!A:A, COUNTA(DistributionLog!A:A)-10+ROW(A7))</f>
        <v>18/07/2025 19:54:08</v>
      </c>
      <c r="O9" t="str" cm="1">
        <f t="array" ref="O9">INDEX(DistributionLog!A:A, COUNTA(DistributionLog!A:A)-10+ROW(A7))</f>
        <v>18/07/2025 19:54:08</v>
      </c>
    </row>
    <row r="10" spans="1:15">
      <c r="E10" t="s">
        <v>85</v>
      </c>
      <c r="K10" t="str" cm="1">
        <f t="array" ref="K10">INDEX(DistributionLog!A:A, COUNTA(DistributionLog!A:A)-10+ROW(A8))</f>
        <v>18/07/2025 19:54:08</v>
      </c>
      <c r="L10" t="str" cm="1">
        <f t="array" ref="L10">INDEX(DistributionLog!A:A, COUNTA(DistributionLog!A:A)-10+ROW(A8))</f>
        <v>18/07/2025 19:54:08</v>
      </c>
      <c r="M10" t="str" cm="1">
        <f t="array" ref="M10">INDEX(DistributionLog!A:A, COUNTA(DistributionLog!A:A)-10+ROW(A8))</f>
        <v>18/07/2025 19:54:08</v>
      </c>
      <c r="N10" t="str" cm="1">
        <f t="array" ref="N10">INDEX(DistributionLog!A:A, COUNTA(DistributionLog!A:A)-10+ROW(A8))</f>
        <v>18/07/2025 19:54:08</v>
      </c>
      <c r="O10" t="str" cm="1">
        <f t="array" ref="O10">INDEX(DistributionLog!A:A, COUNTA(DistributionLog!A:A)-10+ROW(A8))</f>
        <v>18/07/2025 19:54:08</v>
      </c>
    </row>
    <row r="11" spans="1:15">
      <c r="E11" t="s">
        <v>91</v>
      </c>
      <c r="K11" t="str" cm="1">
        <f t="array" ref="K11">INDEX(DistributionLog!A:A, COUNTA(DistributionLog!A:A)-10+ROW(A9))</f>
        <v>18/07/2025 19:54:08</v>
      </c>
      <c r="L11" t="str" cm="1">
        <f t="array" ref="L11">INDEX(DistributionLog!A:A, COUNTA(DistributionLog!A:A)-10+ROW(A9))</f>
        <v>18/07/2025 19:54:08</v>
      </c>
      <c r="M11" t="str" cm="1">
        <f t="array" ref="M11">INDEX(DistributionLog!A:A, COUNTA(DistributionLog!A:A)-10+ROW(A9))</f>
        <v>18/07/2025 19:54:08</v>
      </c>
      <c r="N11" t="str" cm="1">
        <f t="array" ref="N11">INDEX(DistributionLog!A:A, COUNTA(DistributionLog!A:A)-10+ROW(A9))</f>
        <v>18/07/2025 19:54:08</v>
      </c>
      <c r="O11" t="str" cm="1">
        <f t="array" ref="O11">INDEX(DistributionLog!A:A, COUNTA(DistributionLog!A:A)-10+ROW(A9))</f>
        <v>18/07/2025 19:54:08</v>
      </c>
    </row>
    <row r="12" spans="1:15">
      <c r="E12" t="s">
        <v>61</v>
      </c>
      <c r="K12" t="str" cm="1">
        <f t="array" ref="K12">INDEX(DistributionLog!A:A, COUNTA(DistributionLog!A:A)-10+ROW(A10))</f>
        <v>18/07/2025 19:54:08</v>
      </c>
      <c r="L12" t="str" cm="1">
        <f t="array" ref="L12">INDEX(DistributionLog!A:A, COUNTA(DistributionLog!A:A)-10+ROW(A10))</f>
        <v>18/07/2025 19:54:08</v>
      </c>
      <c r="M12" t="str" cm="1">
        <f t="array" ref="M12">INDEX(DistributionLog!A:A, COUNTA(DistributionLog!A:A)-10+ROW(A10))</f>
        <v>18/07/2025 19:54:08</v>
      </c>
      <c r="N12" t="str" cm="1">
        <f t="array" ref="N12">INDEX(DistributionLog!A:A, COUNTA(DistributionLog!A:A)-10+ROW(A10))</f>
        <v>18/07/2025 19:54:08</v>
      </c>
      <c r="O12" t="str" cm="1">
        <f t="array" ref="O12">INDEX(DistributionLog!A:A, COUNTA(DistributionLog!A:A)-10+ROW(A10))</f>
        <v>18/07/2025 19:54:08</v>
      </c>
    </row>
    <row r="13" spans="1:15">
      <c r="E13" t="s">
        <v>101</v>
      </c>
      <c r="K13" cm="1">
        <f t="array" ref="K13">INDEX(DistributionLog!A:A, COUNTA(DistributionLog!A:A)-10+ROW(A11))</f>
        <v>0</v>
      </c>
      <c r="L13" cm="1">
        <f t="array" ref="L13">INDEX(DistributionLog!A:A, COUNTA(DistributionLog!A:A)-10+ROW(A11))</f>
        <v>0</v>
      </c>
      <c r="M13" cm="1">
        <f t="array" ref="M13">INDEX(DistributionLog!A:A, COUNTA(DistributionLog!A:A)-10+ROW(A11))</f>
        <v>0</v>
      </c>
      <c r="N13" cm="1">
        <f t="array" ref="N13">INDEX(DistributionLog!A:A, COUNTA(DistributionLog!A:A)-10+ROW(A11))</f>
        <v>0</v>
      </c>
      <c r="O13" cm="1">
        <f t="array" ref="O13">INDEX(DistributionLog!A:A, COUNTA(DistributionLog!A:A)-10+ROW(A11))</f>
        <v>0</v>
      </c>
    </row>
    <row r="14" spans="1:15">
      <c r="K14" cm="1">
        <f t="array" ref="K14">INDEX(DistributionLog!A:A, COUNTA(DistributionLog!A:A)-10+ROW(A12))</f>
        <v>0</v>
      </c>
      <c r="L14" cm="1">
        <f t="array" ref="L14">INDEX(DistributionLog!A:A, COUNTA(DistributionLog!A:A)-10+ROW(A12))</f>
        <v>0</v>
      </c>
      <c r="M14" cm="1">
        <f t="array" ref="M14">INDEX(DistributionLog!A:A, COUNTA(DistributionLog!A:A)-10+ROW(A12))</f>
        <v>0</v>
      </c>
      <c r="N14" cm="1">
        <f t="array" ref="N14">INDEX(DistributionLog!A:A, COUNTA(DistributionLog!A:A)-10+ROW(A12))</f>
        <v>0</v>
      </c>
      <c r="O14" cm="1">
        <f t="array" ref="O14">INDEX(DistributionLog!A:A, COUNTA(DistributionLog!A:A)-10+ROW(A12))</f>
        <v>0</v>
      </c>
    </row>
  </sheetData>
  <conditionalFormatting sqref="E24:E110">
    <cfRule type="expression" dxfId="1" priority="1">
      <formula>AND(K24&lt;&gt;"", ISNA(MATCH(K24, E:E, 0)))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11"/>
  <sheetViews>
    <sheetView topLeftCell="A73" zoomScale="145" zoomScaleNormal="145" workbookViewId="0">
      <selection activeCell="A2" sqref="A2:A110"/>
    </sheetView>
  </sheetViews>
  <sheetFormatPr defaultRowHeight="14.5"/>
  <sheetData>
    <row r="1" spans="1:1">
      <c r="A1" s="9" t="s">
        <v>57</v>
      </c>
    </row>
    <row r="2" spans="1:1">
      <c r="A2" t="s">
        <v>62</v>
      </c>
    </row>
    <row r="3" spans="1:1">
      <c r="A3" t="s">
        <v>97</v>
      </c>
    </row>
    <row r="4" spans="1:1">
      <c r="A4" t="s">
        <v>64</v>
      </c>
    </row>
    <row r="5" spans="1:1">
      <c r="A5" t="s">
        <v>71</v>
      </c>
    </row>
    <row r="6" spans="1:1">
      <c r="A6" t="s">
        <v>58</v>
      </c>
    </row>
    <row r="7" spans="1:1">
      <c r="A7" t="s">
        <v>63</v>
      </c>
    </row>
    <row r="8" spans="1:1">
      <c r="A8" t="s">
        <v>85</v>
      </c>
    </row>
    <row r="9" spans="1:1">
      <c r="A9" t="s">
        <v>91</v>
      </c>
    </row>
    <row r="10" spans="1:1">
      <c r="A10" t="s">
        <v>61</v>
      </c>
    </row>
    <row r="11" spans="1:1">
      <c r="A11" t="s">
        <v>101</v>
      </c>
    </row>
  </sheetData>
  <conditionalFormatting sqref="A24:A117">
    <cfRule type="expression" dxfId="0" priority="1">
      <formula>AND(G24&lt;&gt;"", ISNA(MATCH(G24, A:A, 0)))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1"/>
  <sheetViews>
    <sheetView tabSelected="1" zoomScale="145" zoomScaleNormal="145" workbookViewId="0">
      <selection activeCell="B11" sqref="B11"/>
    </sheetView>
  </sheetViews>
  <sheetFormatPr defaultRowHeight="14.5"/>
  <cols>
    <col min="1" max="1" width="20.54296875" customWidth="1"/>
    <col min="2" max="2" width="16.90625" customWidth="1"/>
    <col min="3" max="3" width="43.1796875" bestFit="1" customWidth="1"/>
    <col min="4" max="4" width="14" bestFit="1" customWidth="1"/>
    <col min="5" max="5" width="11.7265625" bestFit="1" customWidth="1"/>
  </cols>
  <sheetData>
    <row r="1" spans="1:5">
      <c r="A1" s="4" t="s">
        <v>193</v>
      </c>
      <c r="B1" s="4" t="s">
        <v>187</v>
      </c>
      <c r="C1" s="4" t="s">
        <v>190</v>
      </c>
      <c r="D1" s="4" t="s">
        <v>191</v>
      </c>
      <c r="E1" s="4" t="s">
        <v>192</v>
      </c>
    </row>
    <row r="2" spans="1:5">
      <c r="A2" t="s">
        <v>170</v>
      </c>
      <c r="B2" t="s">
        <v>108</v>
      </c>
      <c r="C2" t="s">
        <v>81</v>
      </c>
      <c r="D2" t="s">
        <v>63</v>
      </c>
      <c r="E2" t="s">
        <v>71</v>
      </c>
    </row>
    <row r="3" spans="1:5">
      <c r="A3" t="s">
        <v>170</v>
      </c>
      <c r="B3" t="s">
        <v>108</v>
      </c>
      <c r="C3" t="s">
        <v>129</v>
      </c>
      <c r="D3" t="s">
        <v>63</v>
      </c>
      <c r="E3" t="s">
        <v>91</v>
      </c>
    </row>
    <row r="4" spans="1:5">
      <c r="A4" t="s">
        <v>170</v>
      </c>
      <c r="B4" t="s">
        <v>108</v>
      </c>
      <c r="C4" t="s">
        <v>145</v>
      </c>
      <c r="D4" t="s">
        <v>63</v>
      </c>
      <c r="E4" t="s">
        <v>61</v>
      </c>
    </row>
    <row r="5" spans="1:5">
      <c r="A5" t="s">
        <v>170</v>
      </c>
      <c r="B5" t="s">
        <v>108</v>
      </c>
      <c r="C5" t="s">
        <v>66</v>
      </c>
      <c r="D5" t="s">
        <v>62</v>
      </c>
      <c r="E5" t="s">
        <v>101</v>
      </c>
    </row>
    <row r="11" spans="1:5">
      <c r="C11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7AEA7-CFBB-4D1F-996C-AB4F8EAB267B}">
  <sheetPr codeName="Sheet5"/>
  <dimension ref="B2:E16"/>
  <sheetViews>
    <sheetView zoomScale="130" zoomScaleNormal="130" workbookViewId="0">
      <selection activeCell="B5" sqref="B5"/>
    </sheetView>
  </sheetViews>
  <sheetFormatPr defaultRowHeight="14.5"/>
  <cols>
    <col min="2" max="2" width="30.81640625" bestFit="1" customWidth="1"/>
    <col min="3" max="3" width="15.26953125" bestFit="1" customWidth="1"/>
    <col min="4" max="4" width="13.90625" bestFit="1" customWidth="1"/>
    <col min="5" max="6" width="10.7265625" bestFit="1" customWidth="1"/>
  </cols>
  <sheetData>
    <row r="2" spans="2:5" ht="18.5">
      <c r="B2" s="8" t="s">
        <v>113</v>
      </c>
    </row>
    <row r="5" spans="2:5">
      <c r="B5" s="5" t="s">
        <v>112</v>
      </c>
      <c r="C5" s="5" t="s">
        <v>111</v>
      </c>
    </row>
    <row r="6" spans="2:5">
      <c r="B6" s="5" t="s">
        <v>109</v>
      </c>
      <c r="C6" t="s">
        <v>59</v>
      </c>
      <c r="D6" t="s">
        <v>60</v>
      </c>
      <c r="E6" t="s">
        <v>110</v>
      </c>
    </row>
    <row r="7" spans="2:5">
      <c r="B7" s="6" t="s">
        <v>63</v>
      </c>
      <c r="C7" s="7"/>
      <c r="D7" s="7">
        <v>3</v>
      </c>
      <c r="E7" s="7">
        <v>3</v>
      </c>
    </row>
    <row r="8" spans="2:5">
      <c r="B8" s="6" t="s">
        <v>117</v>
      </c>
      <c r="C8" s="7"/>
      <c r="D8" s="7">
        <v>5</v>
      </c>
      <c r="E8" s="7">
        <v>5</v>
      </c>
    </row>
    <row r="9" spans="2:5">
      <c r="B9" s="6" t="s">
        <v>115</v>
      </c>
      <c r="C9" s="7"/>
      <c r="D9" s="7">
        <v>6</v>
      </c>
      <c r="E9" s="7">
        <v>6</v>
      </c>
    </row>
    <row r="10" spans="2:5">
      <c r="B10" s="6" t="s">
        <v>119</v>
      </c>
      <c r="C10" s="7"/>
      <c r="D10" s="7">
        <v>5</v>
      </c>
      <c r="E10" s="7">
        <v>5</v>
      </c>
    </row>
    <row r="11" spans="2:5">
      <c r="B11" s="6" t="s">
        <v>116</v>
      </c>
      <c r="C11" s="7"/>
      <c r="D11" s="7">
        <v>5</v>
      </c>
      <c r="E11" s="7">
        <v>5</v>
      </c>
    </row>
    <row r="12" spans="2:5">
      <c r="B12" s="6" t="s">
        <v>61</v>
      </c>
      <c r="C12" s="7"/>
      <c r="D12" s="7">
        <v>2</v>
      </c>
      <c r="E12" s="7">
        <v>2</v>
      </c>
    </row>
    <row r="13" spans="2:5">
      <c r="B13" s="6" t="s">
        <v>62</v>
      </c>
      <c r="C13" s="7"/>
      <c r="D13" s="7">
        <v>3</v>
      </c>
      <c r="E13" s="7">
        <v>3</v>
      </c>
    </row>
    <row r="14" spans="2:5">
      <c r="B14" s="6" t="s">
        <v>118</v>
      </c>
      <c r="C14" s="7"/>
      <c r="D14" s="7">
        <v>5</v>
      </c>
      <c r="E14" s="7">
        <v>5</v>
      </c>
    </row>
    <row r="15" spans="2:5">
      <c r="B15" s="6" t="s">
        <v>114</v>
      </c>
      <c r="C15" s="7">
        <v>30</v>
      </c>
      <c r="D15" s="7"/>
      <c r="E15" s="7">
        <v>30</v>
      </c>
    </row>
    <row r="16" spans="2:5">
      <c r="B16" s="6" t="s">
        <v>110</v>
      </c>
      <c r="C16" s="7">
        <v>30</v>
      </c>
      <c r="D16" s="7">
        <v>34</v>
      </c>
      <c r="E16" s="7">
        <v>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SIM Lobby</vt:lpstr>
      <vt:lpstr>SIM_Insights</vt:lpstr>
      <vt:lpstr>ActiveHC</vt:lpstr>
      <vt:lpstr>DistributionLog</vt:lpstr>
      <vt:lpstr>SIM_Dashboard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somawat, shrish</dc:creator>
  <cp:lastModifiedBy>somawat, shrish</cp:lastModifiedBy>
  <dcterms:created xsi:type="dcterms:W3CDTF">2025-07-18T03:56:03Z</dcterms:created>
  <dcterms:modified xsi:type="dcterms:W3CDTF">2025-07-18T17:50:32Z</dcterms:modified>
</cp:coreProperties>
</file>